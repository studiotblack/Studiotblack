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EEE2128-EF50-4F45-84EC-660B17C53C4E}" xr6:coauthVersionLast="47" xr6:coauthVersionMax="47" xr10:uidLastSave="{00000000-0000-0000-0000-000000000000}"/>
  <bookViews>
    <workbookView xWindow="-120" yWindow="-120" windowWidth="20730" windowHeight="11040" activeTab="3" xr2:uid="{50CF2715-2AB4-4CBF-A395-BFC02A0A00D4}"/>
  </bookViews>
  <sheets>
    <sheet name="Henrique" sheetId="1" r:id="rId1"/>
    <sheet name="Wallace" sheetId="3" r:id="rId2"/>
    <sheet name="Vanessa" sheetId="2" r:id="rId3"/>
    <sheet name="Bruna" sheetId="4" r:id="rId4"/>
  </sheets>
  <definedNames>
    <definedName name="_xlnm._FilterDatabase" localSheetId="0" hidden="1">Henrique!$H$1:$K$32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" i="1" l="1"/>
  <c r="Q16" i="1" s="1"/>
  <c r="C32" i="4"/>
  <c r="C31" i="4"/>
  <c r="C30" i="4"/>
  <c r="C29" i="4"/>
  <c r="C28" i="4"/>
  <c r="C27" i="4"/>
  <c r="C26" i="4"/>
  <c r="C25" i="4"/>
  <c r="C24" i="4"/>
  <c r="C23" i="4"/>
  <c r="C22" i="4"/>
  <c r="D21" i="4"/>
  <c r="C21" i="4"/>
  <c r="C20" i="4"/>
  <c r="C19" i="4"/>
  <c r="C18" i="4"/>
  <c r="C17" i="4"/>
  <c r="C16" i="4"/>
  <c r="C15" i="4"/>
  <c r="C14" i="4"/>
  <c r="C13" i="4"/>
  <c r="J12" i="4"/>
  <c r="C12" i="4"/>
  <c r="C11" i="4"/>
  <c r="C10" i="4"/>
  <c r="C9" i="4"/>
  <c r="K8" i="4"/>
  <c r="D32" i="4" s="1"/>
  <c r="C8" i="4"/>
  <c r="K7" i="4"/>
  <c r="D24" i="4" s="1"/>
  <c r="C7" i="4"/>
  <c r="K6" i="4"/>
  <c r="D30" i="4" s="1"/>
  <c r="C6" i="4"/>
  <c r="K5" i="4"/>
  <c r="D22" i="4" s="1"/>
  <c r="C5" i="4"/>
  <c r="K4" i="4"/>
  <c r="D28" i="4" s="1"/>
  <c r="C4" i="4"/>
  <c r="K3" i="4"/>
  <c r="D20" i="4" s="1"/>
  <c r="C3" i="4"/>
  <c r="K2" i="4"/>
  <c r="D26" i="4" s="1"/>
  <c r="C2" i="4"/>
  <c r="K3" i="2"/>
  <c r="K4" i="2"/>
  <c r="K5" i="2"/>
  <c r="K6" i="2"/>
  <c r="D30" i="2" s="1"/>
  <c r="K7" i="2"/>
  <c r="K8" i="2"/>
  <c r="D25" i="2" s="1"/>
  <c r="K2" i="2"/>
  <c r="C32" i="2"/>
  <c r="D31" i="2"/>
  <c r="C31" i="2"/>
  <c r="C30" i="2"/>
  <c r="C29" i="2"/>
  <c r="C28" i="2"/>
  <c r="D27" i="2"/>
  <c r="C27" i="2"/>
  <c r="C26" i="2"/>
  <c r="C25" i="2"/>
  <c r="C24" i="2"/>
  <c r="C23" i="2"/>
  <c r="C22" i="2"/>
  <c r="C21" i="2"/>
  <c r="D20" i="2"/>
  <c r="C20" i="2"/>
  <c r="C19" i="2"/>
  <c r="C18" i="2"/>
  <c r="D17" i="2"/>
  <c r="C17" i="2"/>
  <c r="C16" i="2"/>
  <c r="C15" i="2"/>
  <c r="C14" i="2"/>
  <c r="D13" i="2"/>
  <c r="C13" i="2"/>
  <c r="J12" i="2"/>
  <c r="C12" i="2"/>
  <c r="D11" i="2"/>
  <c r="C11" i="2"/>
  <c r="D10" i="2"/>
  <c r="C10" i="2"/>
  <c r="C9" i="2"/>
  <c r="C8" i="2"/>
  <c r="D24" i="2"/>
  <c r="C7" i="2"/>
  <c r="D6" i="2"/>
  <c r="C6" i="2"/>
  <c r="D22" i="2"/>
  <c r="C5" i="2"/>
  <c r="D28" i="2"/>
  <c r="D4" i="2"/>
  <c r="C4" i="2"/>
  <c r="D3" i="2"/>
  <c r="C3" i="2"/>
  <c r="D26" i="2"/>
  <c r="C2" i="2"/>
  <c r="D4" i="3"/>
  <c r="D5" i="3"/>
  <c r="D7" i="3"/>
  <c r="D11" i="3"/>
  <c r="D15" i="3"/>
  <c r="D18" i="3"/>
  <c r="D19" i="3"/>
  <c r="D21" i="3"/>
  <c r="D23" i="3"/>
  <c r="D25" i="3"/>
  <c r="D28" i="3"/>
  <c r="D3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D2" i="3"/>
  <c r="C2" i="3"/>
  <c r="J12" i="3"/>
  <c r="K8" i="3"/>
  <c r="K7" i="3"/>
  <c r="D3" i="3" s="1"/>
  <c r="K6" i="3"/>
  <c r="D30" i="3" s="1"/>
  <c r="K5" i="3"/>
  <c r="D8" i="3" s="1"/>
  <c r="K4" i="3"/>
  <c r="D14" i="3" s="1"/>
  <c r="D20" i="3"/>
  <c r="K2" i="3"/>
  <c r="D12" i="3" s="1"/>
  <c r="Q12" i="1"/>
  <c r="K4" i="1"/>
  <c r="K21" i="1"/>
  <c r="K25" i="1"/>
  <c r="K28" i="1"/>
  <c r="K32" i="1"/>
  <c r="R3" i="1"/>
  <c r="K27" i="1" s="1"/>
  <c r="R4" i="1"/>
  <c r="K7" i="1" s="1"/>
  <c r="R5" i="1"/>
  <c r="K15" i="1" s="1"/>
  <c r="R6" i="1"/>
  <c r="K23" i="1" s="1"/>
  <c r="R7" i="1"/>
  <c r="K3" i="1" s="1"/>
  <c r="R8" i="1"/>
  <c r="K11" i="1" s="1"/>
  <c r="R2" i="1"/>
  <c r="K19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" i="1"/>
  <c r="K26" i="1" l="1"/>
  <c r="K18" i="1"/>
  <c r="K30" i="1"/>
  <c r="K14" i="1"/>
  <c r="K29" i="1"/>
  <c r="K22" i="1"/>
  <c r="K5" i="1"/>
  <c r="D27" i="4"/>
  <c r="D4" i="4"/>
  <c r="D17" i="4"/>
  <c r="D10" i="4"/>
  <c r="D3" i="4"/>
  <c r="D25" i="4"/>
  <c r="D31" i="4"/>
  <c r="D11" i="4"/>
  <c r="D13" i="4"/>
  <c r="D5" i="4"/>
  <c r="D9" i="4"/>
  <c r="D8" i="4"/>
  <c r="D15" i="4"/>
  <c r="D19" i="4"/>
  <c r="D23" i="4"/>
  <c r="D29" i="4"/>
  <c r="D7" i="4"/>
  <c r="D12" i="4"/>
  <c r="D2" i="4"/>
  <c r="D6" i="4"/>
  <c r="D14" i="4"/>
  <c r="D16" i="4"/>
  <c r="D18" i="4"/>
  <c r="D32" i="2"/>
  <c r="D2" i="2"/>
  <c r="D21" i="2"/>
  <c r="D5" i="2"/>
  <c r="D9" i="2"/>
  <c r="D8" i="2"/>
  <c r="D15" i="2"/>
  <c r="D19" i="2"/>
  <c r="D23" i="2"/>
  <c r="D29" i="2"/>
  <c r="D7" i="2"/>
  <c r="D12" i="2"/>
  <c r="D14" i="2"/>
  <c r="D16" i="2"/>
  <c r="D18" i="2"/>
  <c r="D31" i="3"/>
  <c r="D17" i="3"/>
  <c r="D24" i="3"/>
  <c r="D10" i="3"/>
  <c r="D29" i="3"/>
  <c r="D22" i="3"/>
  <c r="D16" i="3"/>
  <c r="D9" i="3"/>
  <c r="D26" i="3"/>
  <c r="D13" i="3"/>
  <c r="D27" i="3"/>
  <c r="D6" i="3"/>
  <c r="K10" i="1"/>
  <c r="K6" i="1"/>
  <c r="K2" i="1"/>
  <c r="K17" i="1"/>
  <c r="K13" i="1"/>
  <c r="K9" i="1"/>
  <c r="K24" i="1"/>
  <c r="K20" i="1"/>
  <c r="K16" i="1"/>
  <c r="K12" i="1"/>
  <c r="K8" i="1"/>
  <c r="K31" i="1"/>
</calcChain>
</file>

<file path=xl/sharedStrings.xml><?xml version="1.0" encoding="utf-8"?>
<sst xmlns="http://schemas.openxmlformats.org/spreadsheetml/2006/main" count="226" uniqueCount="20">
  <si>
    <t>sexta-feira</t>
  </si>
  <si>
    <t>sábado</t>
  </si>
  <si>
    <t>domingo</t>
  </si>
  <si>
    <t>segunda-feira</t>
  </si>
  <si>
    <t>terça-feira</t>
  </si>
  <si>
    <t>quarta-feira</t>
  </si>
  <si>
    <t>quinta-feira</t>
  </si>
  <si>
    <t>Data</t>
  </si>
  <si>
    <t>Dia da Semana</t>
  </si>
  <si>
    <t>Horas</t>
  </si>
  <si>
    <t>Serviços</t>
  </si>
  <si>
    <t>Horas Trabalhadas</t>
  </si>
  <si>
    <t>Serviços 40 em 40min</t>
  </si>
  <si>
    <t>Poderia ter Feito</t>
  </si>
  <si>
    <t>Realizado</t>
  </si>
  <si>
    <t>Taxa de Ocupação</t>
  </si>
  <si>
    <t>Serviços 60 em 60min</t>
  </si>
  <si>
    <t>dia 1</t>
  </si>
  <si>
    <t>restante dia 2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</si>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</sst>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0" fontId="2" fillId="0" borderId="0" xfId="0" applyFont="1"/>
    <xf numFmtId="14" fontId="4" fillId="0" borderId="0" xfId="0" applyNumberFormat="1" applyFont="1"/>
    <xf numFmtId="0" fontId="4" fillId="0" borderId="0" xfId="0" applyFont="1"/>
    <xf numFmtId="0" fontId="0" fillId="2" borderId="0" xfId="0" applyFill="1"/>
    <xf numFmtId="9" fontId="0" fillId="2" borderId="0" xfId="1" applyFont="1" applyFill="1"/>
    <xf numFmtId="0" fontId="0" fillId="0" borderId="0" xfId="0" applyAlignment="1">
      <alignment horizontal="right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464C-2990-4987-90C9-5907B6A304B8}">
  <dimension ref="D1:R32"/>
  <sheetViews>
    <sheetView topLeftCell="D1" workbookViewId="0">
      <selection activeCell="F2" sqref="F2"/>
    </sheetView>
  </sheetViews>
  <sheetFormatPr defaultRowHeight="15" x14ac:dyDescent="0.25"/>
  <cols>
    <col min="4" max="4" width="10.7109375" bestFit="1" customWidth="1"/>
    <col min="5" max="5" width="13.42578125" bestFit="1" customWidth="1"/>
    <col min="6" max="7" width="13.42578125" customWidth="1"/>
    <col min="8" max="8" width="10.7109375" bestFit="1" customWidth="1"/>
    <col min="9" max="9" width="16.28515625" bestFit="1" customWidth="1"/>
    <col min="10" max="10" width="8.28515625" bestFit="1" customWidth="1"/>
    <col min="16" max="16" width="16.85546875" bestFit="1" customWidth="1"/>
    <col min="17" max="17" width="17.28515625" bestFit="1" customWidth="1"/>
    <col min="18" max="18" width="20.140625" bestFit="1" customWidth="1"/>
  </cols>
  <sheetData>
    <row r="1" spans="4:18" x14ac:dyDescent="0.25">
      <c r="H1" t="s">
        <v>7</v>
      </c>
      <c r="I1" t="s">
        <v>8</v>
      </c>
      <c r="J1" t="s">
        <v>9</v>
      </c>
      <c r="K1" t="s">
        <v>10</v>
      </c>
      <c r="P1" t="s">
        <v>8</v>
      </c>
      <c r="Q1" t="s">
        <v>11</v>
      </c>
      <c r="R1" t="s">
        <v>12</v>
      </c>
    </row>
    <row r="2" spans="4:18" x14ac:dyDescent="0.25">
      <c r="D2" s="1">
        <v>46174</v>
      </c>
      <c r="E2" t="s">
        <v>3</v>
      </c>
      <c r="H2" s="2">
        <v>46143</v>
      </c>
      <c r="I2" s="3" t="s">
        <v>0</v>
      </c>
      <c r="J2">
        <f>VLOOKUP(I2,$P$2:$Q8,2,0)</f>
        <v>9</v>
      </c>
      <c r="K2">
        <f t="shared" ref="K2:K32" si="0">VLOOKUP(I2,$P$2:$R$8,3,)</f>
        <v>13.5</v>
      </c>
      <c r="P2" t="s">
        <v>3</v>
      </c>
      <c r="Q2">
        <v>9</v>
      </c>
      <c r="R2">
        <f>(Q2*60)/40</f>
        <v>13.5</v>
      </c>
    </row>
    <row r="3" spans="4:18" x14ac:dyDescent="0.25">
      <c r="D3" s="1">
        <v>46175</v>
      </c>
      <c r="E3" t="s">
        <v>4</v>
      </c>
      <c r="H3" s="2">
        <v>46144</v>
      </c>
      <c r="I3" s="3" t="s">
        <v>1</v>
      </c>
      <c r="J3">
        <f>VLOOKUP(I3,$P$2:$Q9,2,0)</f>
        <v>6</v>
      </c>
      <c r="K3">
        <f t="shared" si="0"/>
        <v>9</v>
      </c>
      <c r="P3" t="s">
        <v>4</v>
      </c>
      <c r="Q3">
        <v>10</v>
      </c>
      <c r="R3">
        <f t="shared" ref="R3:R8" si="1">(Q3*60)/40</f>
        <v>15</v>
      </c>
    </row>
    <row r="4" spans="4:18" x14ac:dyDescent="0.25">
      <c r="D4" s="1">
        <v>46176</v>
      </c>
      <c r="E4" t="s">
        <v>5</v>
      </c>
      <c r="H4" s="2">
        <v>46145</v>
      </c>
      <c r="I4" s="3" t="s">
        <v>2</v>
      </c>
      <c r="J4">
        <f>VLOOKUP(I4,$P$2:$Q9,2,0)</f>
        <v>0</v>
      </c>
      <c r="K4">
        <f t="shared" si="0"/>
        <v>0</v>
      </c>
      <c r="P4" t="s">
        <v>5</v>
      </c>
      <c r="Q4">
        <v>10</v>
      </c>
      <c r="R4">
        <f t="shared" si="1"/>
        <v>15</v>
      </c>
    </row>
    <row r="5" spans="4:18" x14ac:dyDescent="0.25">
      <c r="D5" s="1">
        <v>46177</v>
      </c>
      <c r="E5" t="s">
        <v>6</v>
      </c>
      <c r="H5" s="4">
        <v>46146</v>
      </c>
      <c r="I5" s="5" t="s">
        <v>3</v>
      </c>
      <c r="J5">
        <f>VLOOKUP(I5,$P$2:$Q10,2,0)</f>
        <v>9</v>
      </c>
      <c r="K5">
        <f t="shared" si="0"/>
        <v>13.5</v>
      </c>
      <c r="P5" t="s">
        <v>6</v>
      </c>
      <c r="Q5">
        <v>11</v>
      </c>
      <c r="R5">
        <f t="shared" si="1"/>
        <v>16.5</v>
      </c>
    </row>
    <row r="6" spans="4:18" x14ac:dyDescent="0.25">
      <c r="D6" s="1">
        <v>46178</v>
      </c>
      <c r="E6" t="s">
        <v>0</v>
      </c>
      <c r="H6" s="1">
        <v>46147</v>
      </c>
      <c r="I6" t="s">
        <v>4</v>
      </c>
      <c r="J6">
        <f>VLOOKUP(I6,$P$2:$Q11,2,0)</f>
        <v>10</v>
      </c>
      <c r="K6">
        <f t="shared" si="0"/>
        <v>15</v>
      </c>
      <c r="P6" t="s">
        <v>0</v>
      </c>
      <c r="Q6">
        <v>9</v>
      </c>
      <c r="R6">
        <f t="shared" si="1"/>
        <v>13.5</v>
      </c>
    </row>
    <row r="7" spans="4:18" x14ac:dyDescent="0.25">
      <c r="D7" s="1">
        <v>46179</v>
      </c>
      <c r="E7" t="s">
        <v>1</v>
      </c>
      <c r="H7" s="1">
        <v>46148</v>
      </c>
      <c r="I7" t="s">
        <v>5</v>
      </c>
      <c r="J7">
        <f>VLOOKUP(I7,$P$2:$Q12,2,0)</f>
        <v>10</v>
      </c>
      <c r="K7">
        <f t="shared" si="0"/>
        <v>15</v>
      </c>
      <c r="P7" t="s">
        <v>1</v>
      </c>
      <c r="Q7">
        <v>6</v>
      </c>
      <c r="R7">
        <f t="shared" si="1"/>
        <v>9</v>
      </c>
    </row>
    <row r="8" spans="4:18" x14ac:dyDescent="0.25">
      <c r="D8" s="1">
        <v>46180</v>
      </c>
      <c r="E8" t="s">
        <v>2</v>
      </c>
      <c r="H8" s="1">
        <v>46149</v>
      </c>
      <c r="I8" t="s">
        <v>6</v>
      </c>
      <c r="J8">
        <f>VLOOKUP(I8,$P$2:$Q13,2,0)</f>
        <v>11</v>
      </c>
      <c r="K8">
        <f t="shared" si="0"/>
        <v>16.5</v>
      </c>
      <c r="P8" t="s">
        <v>2</v>
      </c>
      <c r="Q8">
        <v>0</v>
      </c>
      <c r="R8">
        <f t="shared" si="1"/>
        <v>0</v>
      </c>
    </row>
    <row r="9" spans="4:18" x14ac:dyDescent="0.25">
      <c r="D9" s="1">
        <v>46181</v>
      </c>
      <c r="E9" t="s">
        <v>3</v>
      </c>
      <c r="H9" s="1">
        <v>46150</v>
      </c>
      <c r="I9" t="s">
        <v>0</v>
      </c>
      <c r="J9">
        <f>VLOOKUP(I9,$P$2:$Q14,2,0)</f>
        <v>9</v>
      </c>
      <c r="K9">
        <f t="shared" si="0"/>
        <v>13.5</v>
      </c>
    </row>
    <row r="10" spans="4:18" x14ac:dyDescent="0.25">
      <c r="D10" s="1">
        <v>46182</v>
      </c>
      <c r="E10" t="s">
        <v>4</v>
      </c>
      <c r="H10" s="1">
        <v>46151</v>
      </c>
      <c r="I10" t="s">
        <v>1</v>
      </c>
      <c r="J10">
        <f>VLOOKUP(I10,$P$2:$Q15,2,0)</f>
        <v>6</v>
      </c>
      <c r="K10">
        <f t="shared" si="0"/>
        <v>9</v>
      </c>
      <c r="P10" t="s">
        <v>13</v>
      </c>
      <c r="Q10">
        <v>352</v>
      </c>
    </row>
    <row r="11" spans="4:18" x14ac:dyDescent="0.25">
      <c r="D11" s="1">
        <v>46183</v>
      </c>
      <c r="E11" t="s">
        <v>5</v>
      </c>
      <c r="H11" s="2">
        <v>46152</v>
      </c>
      <c r="I11" s="3" t="s">
        <v>2</v>
      </c>
      <c r="J11">
        <f>VLOOKUP(I11,$P$2:$Q16,2,0)</f>
        <v>0</v>
      </c>
      <c r="K11">
        <f t="shared" si="0"/>
        <v>0</v>
      </c>
      <c r="P11" t="s">
        <v>14</v>
      </c>
      <c r="Q11">
        <v>137</v>
      </c>
    </row>
    <row r="12" spans="4:18" x14ac:dyDescent="0.25">
      <c r="D12" s="1">
        <v>46184</v>
      </c>
      <c r="E12" t="s">
        <v>6</v>
      </c>
      <c r="H12" s="1">
        <v>46153</v>
      </c>
      <c r="I12" t="s">
        <v>3</v>
      </c>
      <c r="J12">
        <f>VLOOKUP(I12,$P$2:$Q17,2,0)</f>
        <v>9</v>
      </c>
      <c r="K12">
        <f t="shared" si="0"/>
        <v>13.5</v>
      </c>
      <c r="P12" s="6" t="s">
        <v>15</v>
      </c>
      <c r="Q12" s="7">
        <f>Q11/Q10</f>
        <v>0.38920454545454547</v>
      </c>
    </row>
    <row r="13" spans="4:18" x14ac:dyDescent="0.25">
      <c r="D13" s="1">
        <v>46185</v>
      </c>
      <c r="E13" t="s">
        <v>0</v>
      </c>
      <c r="H13" s="1">
        <v>46154</v>
      </c>
      <c r="I13" t="s">
        <v>4</v>
      </c>
      <c r="J13">
        <f>VLOOKUP(I13,$P$2:$Q18,2,0)</f>
        <v>10</v>
      </c>
      <c r="K13">
        <f t="shared" si="0"/>
        <v>15</v>
      </c>
    </row>
    <row r="14" spans="4:18" x14ac:dyDescent="0.25">
      <c r="D14" s="1">
        <v>46186</v>
      </c>
      <c r="E14" t="s">
        <v>1</v>
      </c>
      <c r="H14" s="1">
        <v>46155</v>
      </c>
      <c r="I14" t="s">
        <v>5</v>
      </c>
      <c r="J14">
        <f>VLOOKUP(I14,$P$2:$Q19,2,0)</f>
        <v>10</v>
      </c>
      <c r="K14">
        <f t="shared" si="0"/>
        <v>15</v>
      </c>
    </row>
    <row r="15" spans="4:18" x14ac:dyDescent="0.25">
      <c r="D15" s="1">
        <v>46187</v>
      </c>
      <c r="E15" t="s">
        <v>2</v>
      </c>
      <c r="H15" s="1">
        <v>46156</v>
      </c>
      <c r="I15" t="s">
        <v>6</v>
      </c>
      <c r="J15">
        <f>VLOOKUP(I15,$P$2:$Q20,2,0)</f>
        <v>11</v>
      </c>
      <c r="K15">
        <f t="shared" si="0"/>
        <v>16.5</v>
      </c>
      <c r="Q15">
        <f>352*50</f>
        <v>17600</v>
      </c>
    </row>
    <row r="16" spans="4:18" x14ac:dyDescent="0.25">
      <c r="D16" s="1">
        <v>46188</v>
      </c>
      <c r="E16" t="s">
        <v>3</v>
      </c>
      <c r="H16" s="1">
        <v>46157</v>
      </c>
      <c r="I16" t="s">
        <v>0</v>
      </c>
      <c r="J16">
        <f>VLOOKUP(I16,$P$2:$Q21,2,0)</f>
        <v>9</v>
      </c>
      <c r="K16">
        <f t="shared" si="0"/>
        <v>13.5</v>
      </c>
      <c r="Q16">
        <f>Q15*0.36</f>
        <v>6336</v>
      </c>
    </row>
    <row r="17" spans="4:11" x14ac:dyDescent="0.25">
      <c r="D17" s="1">
        <v>46189</v>
      </c>
      <c r="E17" t="s">
        <v>4</v>
      </c>
      <c r="H17" s="1">
        <v>46158</v>
      </c>
      <c r="I17" t="s">
        <v>1</v>
      </c>
      <c r="J17">
        <f>VLOOKUP(I17,$P$2:$Q22,2,0)</f>
        <v>6</v>
      </c>
      <c r="K17">
        <f t="shared" si="0"/>
        <v>9</v>
      </c>
    </row>
    <row r="18" spans="4:11" x14ac:dyDescent="0.25">
      <c r="D18" s="1">
        <v>46190</v>
      </c>
      <c r="E18" t="s">
        <v>5</v>
      </c>
      <c r="H18" s="2">
        <v>46159</v>
      </c>
      <c r="I18" s="3" t="s">
        <v>2</v>
      </c>
      <c r="J18">
        <f>VLOOKUP(I18,$P$2:$Q23,2,0)</f>
        <v>0</v>
      </c>
      <c r="K18">
        <f t="shared" si="0"/>
        <v>0</v>
      </c>
    </row>
    <row r="19" spans="4:11" x14ac:dyDescent="0.25">
      <c r="D19" s="1">
        <v>46191</v>
      </c>
      <c r="E19" t="s">
        <v>6</v>
      </c>
      <c r="H19" s="1">
        <v>46160</v>
      </c>
      <c r="I19" t="s">
        <v>3</v>
      </c>
      <c r="J19">
        <f>VLOOKUP(I19,$P$2:$Q24,2,0)</f>
        <v>9</v>
      </c>
      <c r="K19">
        <f t="shared" si="0"/>
        <v>13.5</v>
      </c>
    </row>
    <row r="20" spans="4:11" x14ac:dyDescent="0.25">
      <c r="D20" s="1">
        <v>46192</v>
      </c>
      <c r="E20" t="s">
        <v>0</v>
      </c>
      <c r="H20" s="1">
        <v>46161</v>
      </c>
      <c r="I20" t="s">
        <v>4</v>
      </c>
      <c r="J20">
        <f>VLOOKUP(I20,$P$2:$Q25,2,0)</f>
        <v>10</v>
      </c>
      <c r="K20">
        <f t="shared" si="0"/>
        <v>15</v>
      </c>
    </row>
    <row r="21" spans="4:11" x14ac:dyDescent="0.25">
      <c r="D21" s="1">
        <v>46193</v>
      </c>
      <c r="E21" t="s">
        <v>1</v>
      </c>
      <c r="H21" s="1">
        <v>46162</v>
      </c>
      <c r="I21" t="s">
        <v>5</v>
      </c>
      <c r="J21">
        <f>VLOOKUP(I21,$P$2:$Q26,2,0)</f>
        <v>10</v>
      </c>
      <c r="K21">
        <f t="shared" si="0"/>
        <v>15</v>
      </c>
    </row>
    <row r="22" spans="4:11" x14ac:dyDescent="0.25">
      <c r="D22" s="1">
        <v>46194</v>
      </c>
      <c r="E22" t="s">
        <v>2</v>
      </c>
      <c r="H22" s="1">
        <v>46163</v>
      </c>
      <c r="I22" t="s">
        <v>6</v>
      </c>
      <c r="J22">
        <f>VLOOKUP(I22,$P$2:$Q27,2,0)</f>
        <v>11</v>
      </c>
      <c r="K22">
        <f t="shared" si="0"/>
        <v>16.5</v>
      </c>
    </row>
    <row r="23" spans="4:11" x14ac:dyDescent="0.25">
      <c r="D23" s="1">
        <v>46195</v>
      </c>
      <c r="E23" t="s">
        <v>3</v>
      </c>
      <c r="H23" s="1">
        <v>46164</v>
      </c>
      <c r="I23" t="s">
        <v>0</v>
      </c>
      <c r="J23">
        <f>VLOOKUP(I23,$P$2:$Q28,2,0)</f>
        <v>9</v>
      </c>
      <c r="K23">
        <f t="shared" si="0"/>
        <v>13.5</v>
      </c>
    </row>
    <row r="24" spans="4:11" x14ac:dyDescent="0.25">
      <c r="D24" s="1">
        <v>46196</v>
      </c>
      <c r="E24" t="s">
        <v>4</v>
      </c>
      <c r="H24" s="1">
        <v>46165</v>
      </c>
      <c r="I24" t="s">
        <v>1</v>
      </c>
      <c r="J24">
        <f>VLOOKUP(I24,$P$2:$Q29,2,0)</f>
        <v>6</v>
      </c>
      <c r="K24">
        <f t="shared" si="0"/>
        <v>9</v>
      </c>
    </row>
    <row r="25" spans="4:11" x14ac:dyDescent="0.25">
      <c r="D25" s="1">
        <v>46197</v>
      </c>
      <c r="E25" t="s">
        <v>5</v>
      </c>
      <c r="H25" s="2">
        <v>46166</v>
      </c>
      <c r="I25" s="3" t="s">
        <v>2</v>
      </c>
      <c r="J25">
        <f>VLOOKUP(I25,$P$2:$Q30,2,0)</f>
        <v>0</v>
      </c>
      <c r="K25">
        <f t="shared" si="0"/>
        <v>0</v>
      </c>
    </row>
    <row r="26" spans="4:11" x14ac:dyDescent="0.25">
      <c r="D26" s="1">
        <v>46198</v>
      </c>
      <c r="E26" t="s">
        <v>6</v>
      </c>
      <c r="H26" s="1">
        <v>46167</v>
      </c>
      <c r="I26" t="s">
        <v>3</v>
      </c>
      <c r="J26">
        <f>VLOOKUP(I26,$P$2:$Q31,2,0)</f>
        <v>9</v>
      </c>
      <c r="K26">
        <f t="shared" si="0"/>
        <v>13.5</v>
      </c>
    </row>
    <row r="27" spans="4:11" x14ac:dyDescent="0.25">
      <c r="D27" s="1">
        <v>46199</v>
      </c>
      <c r="E27" t="s">
        <v>0</v>
      </c>
      <c r="H27" s="1">
        <v>46168</v>
      </c>
      <c r="I27" t="s">
        <v>4</v>
      </c>
      <c r="J27">
        <f>VLOOKUP(I27,$P$2:$Q32,2,0)</f>
        <v>10</v>
      </c>
      <c r="K27">
        <f t="shared" si="0"/>
        <v>15</v>
      </c>
    </row>
    <row r="28" spans="4:11" x14ac:dyDescent="0.25">
      <c r="D28" s="1">
        <v>46200</v>
      </c>
      <c r="E28" t="s">
        <v>1</v>
      </c>
      <c r="H28" s="1">
        <v>46169</v>
      </c>
      <c r="I28" t="s">
        <v>5</v>
      </c>
      <c r="J28">
        <f>VLOOKUP(I28,$P$2:$Q33,2,0)</f>
        <v>10</v>
      </c>
      <c r="K28">
        <f t="shared" si="0"/>
        <v>15</v>
      </c>
    </row>
    <row r="29" spans="4:11" x14ac:dyDescent="0.25">
      <c r="D29" s="1">
        <v>46201</v>
      </c>
      <c r="E29" t="s">
        <v>2</v>
      </c>
      <c r="H29" s="1">
        <v>46170</v>
      </c>
      <c r="I29" t="s">
        <v>6</v>
      </c>
      <c r="J29">
        <f>VLOOKUP(I29,$P$2:$Q34,2,0)</f>
        <v>11</v>
      </c>
      <c r="K29">
        <f t="shared" si="0"/>
        <v>16.5</v>
      </c>
    </row>
    <row r="30" spans="4:11" x14ac:dyDescent="0.25">
      <c r="D30" s="1">
        <v>46202</v>
      </c>
      <c r="E30" t="s">
        <v>3</v>
      </c>
      <c r="H30" s="1">
        <v>46171</v>
      </c>
      <c r="I30" t="s">
        <v>0</v>
      </c>
      <c r="J30">
        <f>VLOOKUP(I30,$P$2:$Q35,2,0)</f>
        <v>9</v>
      </c>
      <c r="K30">
        <f t="shared" si="0"/>
        <v>13.5</v>
      </c>
    </row>
    <row r="31" spans="4:11" x14ac:dyDescent="0.25">
      <c r="D31" s="1">
        <v>46203</v>
      </c>
      <c r="E31" t="s">
        <v>4</v>
      </c>
      <c r="H31" s="1">
        <v>46172</v>
      </c>
      <c r="I31" t="s">
        <v>1</v>
      </c>
      <c r="J31">
        <f>VLOOKUP(I31,$P$2:$Q36,2,0)</f>
        <v>6</v>
      </c>
      <c r="K31">
        <f t="shared" si="0"/>
        <v>9</v>
      </c>
    </row>
    <row r="32" spans="4:11" x14ac:dyDescent="0.25">
      <c r="E32" t="s">
        <v>5</v>
      </c>
      <c r="H32" s="2">
        <v>46173</v>
      </c>
      <c r="I32" s="3" t="s">
        <v>2</v>
      </c>
      <c r="J32">
        <f>VLOOKUP(I32,$P$2:$Q37,2,0)</f>
        <v>0</v>
      </c>
      <c r="K32">
        <f t="shared" si="0"/>
        <v>0</v>
      </c>
    </row>
  </sheetData>
  <autoFilter ref="H1:K32" xr:uid="{0E98464C-2990-4987-90C9-5907B6A304B8}"/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2ED28-4E1D-4998-88B9-11B2A5901110}">
  <dimension ref="A1:K32"/>
  <sheetViews>
    <sheetView workbookViewId="0">
      <selection activeCell="J4" sqref="J4"/>
    </sheetView>
  </sheetViews>
  <sheetFormatPr defaultRowHeight="15" x14ac:dyDescent="0.25"/>
  <cols>
    <col min="1" max="1" width="10.7109375" bestFit="1" customWidth="1"/>
    <col min="2" max="2" width="14" bestFit="1" customWidth="1"/>
    <col min="3" max="3" width="6" bestFit="1" customWidth="1"/>
    <col min="4" max="4" width="8.28515625" bestFit="1" customWidth="1"/>
    <col min="9" max="9" width="16.85546875" bestFit="1" customWidth="1"/>
    <col min="10" max="10" width="17.28515625" bestFit="1" customWidth="1"/>
    <col min="11" max="11" width="20.140625" bestFit="1" customWidth="1"/>
  </cols>
  <sheetData>
    <row r="1" spans="1:11" x14ac:dyDescent="0.25">
      <c r="A1" t="s">
        <v>7</v>
      </c>
      <c r="B1" t="s">
        <v>8</v>
      </c>
      <c r="C1" t="s">
        <v>9</v>
      </c>
      <c r="D1" t="s">
        <v>10</v>
      </c>
      <c r="I1" t="s">
        <v>8</v>
      </c>
      <c r="J1" t="s">
        <v>11</v>
      </c>
      <c r="K1" t="s">
        <v>12</v>
      </c>
    </row>
    <row r="2" spans="1:11" x14ac:dyDescent="0.25">
      <c r="A2" s="4">
        <v>46143</v>
      </c>
      <c r="B2" s="5" t="s">
        <v>0</v>
      </c>
      <c r="C2">
        <f>VLOOKUP(B2,$I$2:$J8,2,0)</f>
        <v>6</v>
      </c>
      <c r="D2">
        <f>VLOOKUP(B2,$I$2:$K$8,3,)</f>
        <v>9</v>
      </c>
      <c r="I2" t="s">
        <v>3</v>
      </c>
      <c r="J2">
        <v>5</v>
      </c>
      <c r="K2">
        <f>(J2*60)/40</f>
        <v>7.5</v>
      </c>
    </row>
    <row r="3" spans="1:11" x14ac:dyDescent="0.25">
      <c r="A3" s="4">
        <v>46144</v>
      </c>
      <c r="B3" s="5" t="s">
        <v>1</v>
      </c>
      <c r="C3">
        <f>VLOOKUP(B3,$I$2:$J9,2,0)</f>
        <v>7</v>
      </c>
      <c r="D3">
        <f t="shared" ref="D3:D32" si="0">VLOOKUP(B3,$I$2:$K$8,3,)</f>
        <v>10.5</v>
      </c>
      <c r="I3" t="s">
        <v>4</v>
      </c>
      <c r="J3">
        <v>5</v>
      </c>
      <c r="K3">
        <v>7.5</v>
      </c>
    </row>
    <row r="4" spans="1:11" x14ac:dyDescent="0.25">
      <c r="A4" s="2">
        <v>46145</v>
      </c>
      <c r="B4" s="3" t="s">
        <v>2</v>
      </c>
      <c r="C4">
        <f>VLOOKUP(B4,$I$2:$J10,2,0)</f>
        <v>0</v>
      </c>
      <c r="D4">
        <f t="shared" si="0"/>
        <v>0</v>
      </c>
      <c r="I4" t="s">
        <v>5</v>
      </c>
      <c r="J4">
        <v>5</v>
      </c>
      <c r="K4">
        <f t="shared" ref="K4:K8" si="1">(J4*60)/40</f>
        <v>7.5</v>
      </c>
    </row>
    <row r="5" spans="1:11" x14ac:dyDescent="0.25">
      <c r="A5" s="4">
        <v>46146</v>
      </c>
      <c r="B5" s="5" t="s">
        <v>3</v>
      </c>
      <c r="C5">
        <f>VLOOKUP(B5,$I$2:$J11,2,0)</f>
        <v>5</v>
      </c>
      <c r="D5">
        <f t="shared" si="0"/>
        <v>7.5</v>
      </c>
      <c r="I5" t="s">
        <v>6</v>
      </c>
      <c r="J5">
        <v>6</v>
      </c>
      <c r="K5">
        <f t="shared" si="1"/>
        <v>9</v>
      </c>
    </row>
    <row r="6" spans="1:11" x14ac:dyDescent="0.25">
      <c r="A6" s="1">
        <v>46147</v>
      </c>
      <c r="B6" t="s">
        <v>4</v>
      </c>
      <c r="C6">
        <f>VLOOKUP(B6,$I$2:$J12,2,0)</f>
        <v>5</v>
      </c>
      <c r="D6">
        <f t="shared" si="0"/>
        <v>7.5</v>
      </c>
      <c r="I6" t="s">
        <v>0</v>
      </c>
      <c r="J6">
        <v>6</v>
      </c>
      <c r="K6">
        <f t="shared" si="1"/>
        <v>9</v>
      </c>
    </row>
    <row r="7" spans="1:11" x14ac:dyDescent="0.25">
      <c r="A7" s="1">
        <v>46148</v>
      </c>
      <c r="B7" t="s">
        <v>5</v>
      </c>
      <c r="C7">
        <f>VLOOKUP(B7,$I$2:$J13,2,0)</f>
        <v>5</v>
      </c>
      <c r="D7">
        <f t="shared" si="0"/>
        <v>7.5</v>
      </c>
      <c r="I7" t="s">
        <v>1</v>
      </c>
      <c r="J7">
        <v>7</v>
      </c>
      <c r="K7">
        <f t="shared" si="1"/>
        <v>10.5</v>
      </c>
    </row>
    <row r="8" spans="1:11" x14ac:dyDescent="0.25">
      <c r="A8" s="1">
        <v>46149</v>
      </c>
      <c r="B8" t="s">
        <v>6</v>
      </c>
      <c r="C8">
        <f>VLOOKUP(B8,$I$2:$J14,2,0)</f>
        <v>6</v>
      </c>
      <c r="D8">
        <f t="shared" si="0"/>
        <v>9</v>
      </c>
      <c r="I8" t="s">
        <v>2</v>
      </c>
      <c r="J8">
        <v>0</v>
      </c>
      <c r="K8">
        <f t="shared" si="1"/>
        <v>0</v>
      </c>
    </row>
    <row r="9" spans="1:11" x14ac:dyDescent="0.25">
      <c r="A9" s="1">
        <v>46150</v>
      </c>
      <c r="B9" t="s">
        <v>0</v>
      </c>
      <c r="C9">
        <f>VLOOKUP(B9,$I$2:$J15,2,0)</f>
        <v>6</v>
      </c>
      <c r="D9">
        <f t="shared" si="0"/>
        <v>9</v>
      </c>
    </row>
    <row r="10" spans="1:11" x14ac:dyDescent="0.25">
      <c r="A10" s="1">
        <v>46151</v>
      </c>
      <c r="B10" t="s">
        <v>1</v>
      </c>
      <c r="C10">
        <f>VLOOKUP(B10,$I$2:$J16,2,0)</f>
        <v>7</v>
      </c>
      <c r="D10">
        <f t="shared" si="0"/>
        <v>10.5</v>
      </c>
      <c r="I10" t="s">
        <v>13</v>
      </c>
      <c r="J10">
        <v>223</v>
      </c>
    </row>
    <row r="11" spans="1:11" x14ac:dyDescent="0.25">
      <c r="A11" s="2">
        <v>46152</v>
      </c>
      <c r="B11" s="3" t="s">
        <v>2</v>
      </c>
      <c r="C11">
        <f>VLOOKUP(B11,$I$2:$J17,2,0)</f>
        <v>0</v>
      </c>
      <c r="D11">
        <f t="shared" si="0"/>
        <v>0</v>
      </c>
      <c r="I11" t="s">
        <v>14</v>
      </c>
      <c r="J11">
        <v>111</v>
      </c>
    </row>
    <row r="12" spans="1:11" x14ac:dyDescent="0.25">
      <c r="A12" s="1">
        <v>46153</v>
      </c>
      <c r="B12" t="s">
        <v>3</v>
      </c>
      <c r="C12">
        <f>VLOOKUP(B12,$I$2:$J18,2,0)</f>
        <v>5</v>
      </c>
      <c r="D12">
        <f t="shared" si="0"/>
        <v>7.5</v>
      </c>
      <c r="I12" s="6" t="s">
        <v>15</v>
      </c>
      <c r="J12" s="7">
        <f>J11/J10</f>
        <v>0.49775784753363228</v>
      </c>
    </row>
    <row r="13" spans="1:11" x14ac:dyDescent="0.25">
      <c r="A13" s="1">
        <v>46154</v>
      </c>
      <c r="B13" t="s">
        <v>4</v>
      </c>
      <c r="C13">
        <f>VLOOKUP(B13,$I$2:$J19,2,0)</f>
        <v>5</v>
      </c>
      <c r="D13">
        <f t="shared" si="0"/>
        <v>7.5</v>
      </c>
    </row>
    <row r="14" spans="1:11" x14ac:dyDescent="0.25">
      <c r="A14" s="1">
        <v>46155</v>
      </c>
      <c r="B14" t="s">
        <v>5</v>
      </c>
      <c r="C14">
        <f>VLOOKUP(B14,$I$2:$J20,2,0)</f>
        <v>5</v>
      </c>
      <c r="D14">
        <f t="shared" si="0"/>
        <v>7.5</v>
      </c>
    </row>
    <row r="15" spans="1:11" x14ac:dyDescent="0.25">
      <c r="A15" s="1">
        <v>46156</v>
      </c>
      <c r="B15" t="s">
        <v>6</v>
      </c>
      <c r="C15">
        <f>VLOOKUP(B15,$I$2:$J21,2,0)</f>
        <v>6</v>
      </c>
      <c r="D15">
        <f t="shared" si="0"/>
        <v>9</v>
      </c>
    </row>
    <row r="16" spans="1:11" x14ac:dyDescent="0.25">
      <c r="A16" s="1">
        <v>46157</v>
      </c>
      <c r="B16" t="s">
        <v>0</v>
      </c>
      <c r="C16">
        <f>VLOOKUP(B16,$I$2:$J22,2,0)</f>
        <v>6</v>
      </c>
      <c r="D16">
        <f t="shared" si="0"/>
        <v>9</v>
      </c>
    </row>
    <row r="17" spans="1:4" x14ac:dyDescent="0.25">
      <c r="A17" s="1">
        <v>46158</v>
      </c>
      <c r="B17" t="s">
        <v>1</v>
      </c>
      <c r="C17">
        <f>VLOOKUP(B17,$I$2:$J23,2,0)</f>
        <v>7</v>
      </c>
      <c r="D17">
        <f t="shared" si="0"/>
        <v>10.5</v>
      </c>
    </row>
    <row r="18" spans="1:4" x14ac:dyDescent="0.25">
      <c r="A18" s="2">
        <v>46159</v>
      </c>
      <c r="B18" s="3" t="s">
        <v>2</v>
      </c>
      <c r="C18">
        <f>VLOOKUP(B18,$I$2:$J24,2,0)</f>
        <v>0</v>
      </c>
      <c r="D18">
        <f t="shared" si="0"/>
        <v>0</v>
      </c>
    </row>
    <row r="19" spans="1:4" x14ac:dyDescent="0.25">
      <c r="A19" s="1">
        <v>46160</v>
      </c>
      <c r="B19" t="s">
        <v>3</v>
      </c>
      <c r="C19">
        <f>VLOOKUP(B19,$I$2:$J25,2,0)</f>
        <v>5</v>
      </c>
      <c r="D19">
        <f t="shared" si="0"/>
        <v>7.5</v>
      </c>
    </row>
    <row r="20" spans="1:4" x14ac:dyDescent="0.25">
      <c r="A20" s="1">
        <v>46161</v>
      </c>
      <c r="B20" t="s">
        <v>4</v>
      </c>
      <c r="C20">
        <f>VLOOKUP(B20,$I$2:$J26,2,0)</f>
        <v>5</v>
      </c>
      <c r="D20">
        <f t="shared" si="0"/>
        <v>7.5</v>
      </c>
    </row>
    <row r="21" spans="1:4" x14ac:dyDescent="0.25">
      <c r="A21" s="1">
        <v>46162</v>
      </c>
      <c r="B21" t="s">
        <v>5</v>
      </c>
      <c r="C21">
        <f>VLOOKUP(B21,$I$2:$J27,2,0)</f>
        <v>5</v>
      </c>
      <c r="D21">
        <f t="shared" si="0"/>
        <v>7.5</v>
      </c>
    </row>
    <row r="22" spans="1:4" x14ac:dyDescent="0.25">
      <c r="A22" s="1">
        <v>46163</v>
      </c>
      <c r="B22" t="s">
        <v>6</v>
      </c>
      <c r="C22">
        <f>VLOOKUP(B22,$I$2:$J28,2,0)</f>
        <v>6</v>
      </c>
      <c r="D22">
        <f t="shared" si="0"/>
        <v>9</v>
      </c>
    </row>
    <row r="23" spans="1:4" x14ac:dyDescent="0.25">
      <c r="A23" s="1">
        <v>46164</v>
      </c>
      <c r="B23" t="s">
        <v>0</v>
      </c>
      <c r="C23">
        <f>VLOOKUP(B23,$I$2:$J29,2,0)</f>
        <v>6</v>
      </c>
      <c r="D23">
        <f t="shared" si="0"/>
        <v>9</v>
      </c>
    </row>
    <row r="24" spans="1:4" x14ac:dyDescent="0.25">
      <c r="A24" s="1">
        <v>46165</v>
      </c>
      <c r="B24" t="s">
        <v>1</v>
      </c>
      <c r="C24">
        <f>VLOOKUP(B24,$I$2:$J30,2,0)</f>
        <v>7</v>
      </c>
      <c r="D24">
        <f t="shared" si="0"/>
        <v>10.5</v>
      </c>
    </row>
    <row r="25" spans="1:4" x14ac:dyDescent="0.25">
      <c r="A25" s="2">
        <v>46166</v>
      </c>
      <c r="B25" s="3" t="s">
        <v>2</v>
      </c>
      <c r="C25">
        <f>VLOOKUP(B25,$I$2:$J31,2,0)</f>
        <v>0</v>
      </c>
      <c r="D25">
        <f t="shared" si="0"/>
        <v>0</v>
      </c>
    </row>
    <row r="26" spans="1:4" x14ac:dyDescent="0.25">
      <c r="A26" s="1">
        <v>46167</v>
      </c>
      <c r="B26" t="s">
        <v>3</v>
      </c>
      <c r="C26">
        <f>VLOOKUP(B26,$I$2:$J32,2,0)</f>
        <v>5</v>
      </c>
      <c r="D26">
        <f t="shared" si="0"/>
        <v>7.5</v>
      </c>
    </row>
    <row r="27" spans="1:4" x14ac:dyDescent="0.25">
      <c r="A27" s="1">
        <v>46168</v>
      </c>
      <c r="B27" t="s">
        <v>4</v>
      </c>
      <c r="C27">
        <f>VLOOKUP(B27,$I$2:$J33,2,0)</f>
        <v>5</v>
      </c>
      <c r="D27">
        <f t="shared" si="0"/>
        <v>7.5</v>
      </c>
    </row>
    <row r="28" spans="1:4" x14ac:dyDescent="0.25">
      <c r="A28" s="1">
        <v>46169</v>
      </c>
      <c r="B28" t="s">
        <v>5</v>
      </c>
      <c r="C28">
        <f>VLOOKUP(B28,$I$2:$J34,2,0)</f>
        <v>5</v>
      </c>
      <c r="D28">
        <f t="shared" si="0"/>
        <v>7.5</v>
      </c>
    </row>
    <row r="29" spans="1:4" x14ac:dyDescent="0.25">
      <c r="A29" s="1">
        <v>46170</v>
      </c>
      <c r="B29" t="s">
        <v>6</v>
      </c>
      <c r="C29">
        <f>VLOOKUP(B29,$I$2:$J35,2,0)</f>
        <v>6</v>
      </c>
      <c r="D29">
        <f t="shared" si="0"/>
        <v>9</v>
      </c>
    </row>
    <row r="30" spans="1:4" x14ac:dyDescent="0.25">
      <c r="A30" s="1">
        <v>46171</v>
      </c>
      <c r="B30" t="s">
        <v>0</v>
      </c>
      <c r="C30">
        <f>VLOOKUP(B30,$I$2:$J36,2,0)</f>
        <v>6</v>
      </c>
      <c r="D30">
        <f t="shared" si="0"/>
        <v>9</v>
      </c>
    </row>
    <row r="31" spans="1:4" x14ac:dyDescent="0.25">
      <c r="A31" s="1">
        <v>46172</v>
      </c>
      <c r="B31" t="s">
        <v>1</v>
      </c>
      <c r="C31">
        <f>VLOOKUP(B31,$I$2:$J37,2,0)</f>
        <v>7</v>
      </c>
      <c r="D31">
        <f t="shared" si="0"/>
        <v>10.5</v>
      </c>
    </row>
    <row r="32" spans="1:4" x14ac:dyDescent="0.25">
      <c r="A32" s="2">
        <v>46173</v>
      </c>
      <c r="B32" s="3" t="s">
        <v>2</v>
      </c>
      <c r="C32">
        <f>VLOOKUP(B32,$I$2:$J38,2,0)</f>
        <v>0</v>
      </c>
      <c r="D32">
        <f t="shared" si="0"/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D92E4-7982-41CF-8E79-CEE9CA7D3091}">
  <dimension ref="A1:K32"/>
  <sheetViews>
    <sheetView workbookViewId="0">
      <selection activeCell="I15" sqref="I15"/>
    </sheetView>
  </sheetViews>
  <sheetFormatPr defaultRowHeight="15" x14ac:dyDescent="0.25"/>
  <cols>
    <col min="1" max="1" width="10.7109375" bestFit="1" customWidth="1"/>
    <col min="2" max="2" width="14" bestFit="1" customWidth="1"/>
    <col min="3" max="3" width="6" bestFit="1" customWidth="1"/>
    <col min="4" max="4" width="8.28515625" bestFit="1" customWidth="1"/>
    <col min="9" max="9" width="16.85546875" bestFit="1" customWidth="1"/>
    <col min="10" max="10" width="17.28515625" bestFit="1" customWidth="1"/>
    <col min="11" max="11" width="20.140625" bestFit="1" customWidth="1"/>
  </cols>
  <sheetData>
    <row r="1" spans="1:11" x14ac:dyDescent="0.25">
      <c r="A1" t="s">
        <v>7</v>
      </c>
      <c r="B1" t="s">
        <v>8</v>
      </c>
      <c r="C1" t="s">
        <v>9</v>
      </c>
      <c r="D1" t="s">
        <v>10</v>
      </c>
      <c r="I1" t="s">
        <v>8</v>
      </c>
      <c r="J1" t="s">
        <v>11</v>
      </c>
      <c r="K1" t="s">
        <v>16</v>
      </c>
    </row>
    <row r="2" spans="1:11" x14ac:dyDescent="0.25">
      <c r="A2" s="4">
        <v>46143</v>
      </c>
      <c r="B2" s="5" t="s">
        <v>0</v>
      </c>
      <c r="C2">
        <f>VLOOKUP(B2,$I$2:$J8,2,0)</f>
        <v>11</v>
      </c>
      <c r="D2">
        <f>VLOOKUP(B2,$I$2:$K$8,3,)</f>
        <v>11</v>
      </c>
      <c r="I2" t="s">
        <v>3</v>
      </c>
      <c r="J2">
        <v>0</v>
      </c>
      <c r="K2">
        <f>(J2*60)/60</f>
        <v>0</v>
      </c>
    </row>
    <row r="3" spans="1:11" x14ac:dyDescent="0.25">
      <c r="A3" s="4">
        <v>46144</v>
      </c>
      <c r="B3" s="5" t="s">
        <v>1</v>
      </c>
      <c r="C3">
        <f>VLOOKUP(B3,$I$2:$J9,2,0)</f>
        <v>7</v>
      </c>
      <c r="D3">
        <f t="shared" ref="D3:D32" si="0">VLOOKUP(B3,$I$2:$K$8,3,)</f>
        <v>7</v>
      </c>
      <c r="I3" t="s">
        <v>4</v>
      </c>
      <c r="J3">
        <v>6</v>
      </c>
      <c r="K3">
        <f t="shared" ref="K3:K8" si="1">(J3*60)/60</f>
        <v>6</v>
      </c>
    </row>
    <row r="4" spans="1:11" x14ac:dyDescent="0.25">
      <c r="A4" s="2">
        <v>46145</v>
      </c>
      <c r="B4" s="3" t="s">
        <v>2</v>
      </c>
      <c r="C4">
        <f>VLOOKUP(B4,$I$2:$J10,2,0)</f>
        <v>0</v>
      </c>
      <c r="D4">
        <f t="shared" si="0"/>
        <v>0</v>
      </c>
      <c r="I4" t="s">
        <v>5</v>
      </c>
      <c r="J4">
        <v>6</v>
      </c>
      <c r="K4">
        <f t="shared" si="1"/>
        <v>6</v>
      </c>
    </row>
    <row r="5" spans="1:11" x14ac:dyDescent="0.25">
      <c r="A5" s="4">
        <v>46146</v>
      </c>
      <c r="B5" s="5" t="s">
        <v>3</v>
      </c>
      <c r="C5">
        <f>VLOOKUP(B5,$I$2:$J11,2,0)</f>
        <v>0</v>
      </c>
      <c r="D5">
        <f t="shared" si="0"/>
        <v>0</v>
      </c>
      <c r="I5" t="s">
        <v>6</v>
      </c>
      <c r="J5">
        <v>7</v>
      </c>
      <c r="K5">
        <f t="shared" si="1"/>
        <v>7</v>
      </c>
    </row>
    <row r="6" spans="1:11" x14ac:dyDescent="0.25">
      <c r="A6" s="1">
        <v>46147</v>
      </c>
      <c r="B6" t="s">
        <v>4</v>
      </c>
      <c r="C6">
        <f>VLOOKUP(B6,$I$2:$J12,2,0)</f>
        <v>6</v>
      </c>
      <c r="D6">
        <f t="shared" si="0"/>
        <v>6</v>
      </c>
      <c r="I6" t="s">
        <v>0</v>
      </c>
      <c r="J6">
        <v>11</v>
      </c>
      <c r="K6">
        <f t="shared" si="1"/>
        <v>11</v>
      </c>
    </row>
    <row r="7" spans="1:11" x14ac:dyDescent="0.25">
      <c r="A7" s="1">
        <v>46148</v>
      </c>
      <c r="B7" t="s">
        <v>5</v>
      </c>
      <c r="C7">
        <f>VLOOKUP(B7,$I$2:$J13,2,0)</f>
        <v>6</v>
      </c>
      <c r="D7">
        <f t="shared" si="0"/>
        <v>6</v>
      </c>
      <c r="I7" t="s">
        <v>1</v>
      </c>
      <c r="J7">
        <v>7</v>
      </c>
      <c r="K7">
        <f t="shared" si="1"/>
        <v>7</v>
      </c>
    </row>
    <row r="8" spans="1:11" x14ac:dyDescent="0.25">
      <c r="A8" s="1">
        <v>46149</v>
      </c>
      <c r="B8" t="s">
        <v>6</v>
      </c>
      <c r="C8">
        <f>VLOOKUP(B8,$I$2:$J14,2,0)</f>
        <v>7</v>
      </c>
      <c r="D8">
        <f t="shared" si="0"/>
        <v>7</v>
      </c>
      <c r="I8" t="s">
        <v>2</v>
      </c>
      <c r="J8">
        <v>0</v>
      </c>
      <c r="K8">
        <f t="shared" si="1"/>
        <v>0</v>
      </c>
    </row>
    <row r="9" spans="1:11" x14ac:dyDescent="0.25">
      <c r="A9" s="1">
        <v>46150</v>
      </c>
      <c r="B9" t="s">
        <v>0</v>
      </c>
      <c r="C9">
        <f>VLOOKUP(B9,$I$2:$J15,2,0)</f>
        <v>11</v>
      </c>
      <c r="D9">
        <f t="shared" si="0"/>
        <v>11</v>
      </c>
    </row>
    <row r="10" spans="1:11" x14ac:dyDescent="0.25">
      <c r="A10" s="1">
        <v>46151</v>
      </c>
      <c r="B10" t="s">
        <v>1</v>
      </c>
      <c r="C10">
        <f>VLOOKUP(B10,$I$2:$J16,2,0)</f>
        <v>7</v>
      </c>
      <c r="D10">
        <f t="shared" si="0"/>
        <v>7</v>
      </c>
      <c r="I10" t="s">
        <v>13</v>
      </c>
      <c r="J10">
        <v>166</v>
      </c>
    </row>
    <row r="11" spans="1:11" x14ac:dyDescent="0.25">
      <c r="A11" s="2">
        <v>46152</v>
      </c>
      <c r="B11" s="3" t="s">
        <v>2</v>
      </c>
      <c r="C11">
        <f>VLOOKUP(B11,$I$2:$J17,2,0)</f>
        <v>0</v>
      </c>
      <c r="D11">
        <f t="shared" si="0"/>
        <v>0</v>
      </c>
      <c r="I11" t="s">
        <v>14</v>
      </c>
      <c r="J11">
        <v>79</v>
      </c>
    </row>
    <row r="12" spans="1:11" x14ac:dyDescent="0.25">
      <c r="A12" s="1">
        <v>46153</v>
      </c>
      <c r="B12" t="s">
        <v>3</v>
      </c>
      <c r="C12">
        <f>VLOOKUP(B12,$I$2:$J18,2,0)</f>
        <v>0</v>
      </c>
      <c r="D12">
        <f t="shared" si="0"/>
        <v>0</v>
      </c>
      <c r="I12" s="6" t="s">
        <v>15</v>
      </c>
      <c r="J12" s="7">
        <f>J11/J10</f>
        <v>0.4759036144578313</v>
      </c>
    </row>
    <row r="13" spans="1:11" x14ac:dyDescent="0.25">
      <c r="A13" s="1">
        <v>46154</v>
      </c>
      <c r="B13" t="s">
        <v>4</v>
      </c>
      <c r="C13">
        <f>VLOOKUP(B13,$I$2:$J19,2,0)</f>
        <v>6</v>
      </c>
      <c r="D13">
        <f t="shared" si="0"/>
        <v>6</v>
      </c>
    </row>
    <row r="14" spans="1:11" x14ac:dyDescent="0.25">
      <c r="A14" s="1">
        <v>46155</v>
      </c>
      <c r="B14" t="s">
        <v>5</v>
      </c>
      <c r="C14">
        <f>VLOOKUP(B14,$I$2:$J20,2,0)</f>
        <v>6</v>
      </c>
      <c r="D14">
        <f t="shared" si="0"/>
        <v>6</v>
      </c>
    </row>
    <row r="15" spans="1:11" x14ac:dyDescent="0.25">
      <c r="A15" s="1">
        <v>46156</v>
      </c>
      <c r="B15" t="s">
        <v>6</v>
      </c>
      <c r="C15">
        <f>VLOOKUP(B15,$I$2:$J21,2,0)</f>
        <v>7</v>
      </c>
      <c r="D15">
        <f t="shared" si="0"/>
        <v>7</v>
      </c>
      <c r="I15" s="8">
        <v>1000</v>
      </c>
      <c r="J15" t="s">
        <v>17</v>
      </c>
    </row>
    <row r="16" spans="1:11" x14ac:dyDescent="0.25">
      <c r="A16" s="1">
        <v>46157</v>
      </c>
      <c r="B16" t="s">
        <v>0</v>
      </c>
      <c r="C16">
        <f>VLOOKUP(B16,$I$2:$J22,2,0)</f>
        <v>11</v>
      </c>
      <c r="D16">
        <f t="shared" si="0"/>
        <v>11</v>
      </c>
      <c r="I16" s="8" t="s">
        <v>19</v>
      </c>
      <c r="J16" t="s">
        <v>18</v>
      </c>
    </row>
    <row r="17" spans="1:4" x14ac:dyDescent="0.25">
      <c r="A17" s="1">
        <v>46158</v>
      </c>
      <c r="B17" t="s">
        <v>1</v>
      </c>
      <c r="C17">
        <f>VLOOKUP(B17,$I$2:$J23,2,0)</f>
        <v>7</v>
      </c>
      <c r="D17">
        <f t="shared" si="0"/>
        <v>7</v>
      </c>
    </row>
    <row r="18" spans="1:4" x14ac:dyDescent="0.25">
      <c r="A18" s="2">
        <v>46159</v>
      </c>
      <c r="B18" s="3" t="s">
        <v>2</v>
      </c>
      <c r="C18">
        <f>VLOOKUP(B18,$I$2:$J24,2,0)</f>
        <v>0</v>
      </c>
      <c r="D18">
        <f t="shared" si="0"/>
        <v>0</v>
      </c>
    </row>
    <row r="19" spans="1:4" x14ac:dyDescent="0.25">
      <c r="A19" s="1">
        <v>46160</v>
      </c>
      <c r="B19" t="s">
        <v>3</v>
      </c>
      <c r="C19">
        <f>VLOOKUP(B19,$I$2:$J25,2,0)</f>
        <v>0</v>
      </c>
      <c r="D19">
        <f t="shared" si="0"/>
        <v>0</v>
      </c>
    </row>
    <row r="20" spans="1:4" x14ac:dyDescent="0.25">
      <c r="A20" s="1">
        <v>46161</v>
      </c>
      <c r="B20" t="s">
        <v>4</v>
      </c>
      <c r="C20">
        <f>VLOOKUP(B20,$I$2:$J26,2,0)</f>
        <v>6</v>
      </c>
      <c r="D20">
        <f t="shared" si="0"/>
        <v>6</v>
      </c>
    </row>
    <row r="21" spans="1:4" x14ac:dyDescent="0.25">
      <c r="A21" s="1">
        <v>46162</v>
      </c>
      <c r="B21" t="s">
        <v>5</v>
      </c>
      <c r="C21">
        <f>VLOOKUP(B21,$I$2:$J27,2,0)</f>
        <v>6</v>
      </c>
      <c r="D21">
        <f t="shared" si="0"/>
        <v>6</v>
      </c>
    </row>
    <row r="22" spans="1:4" x14ac:dyDescent="0.25">
      <c r="A22" s="1">
        <v>46163</v>
      </c>
      <c r="B22" t="s">
        <v>6</v>
      </c>
      <c r="C22">
        <f>VLOOKUP(B22,$I$2:$J28,2,0)</f>
        <v>7</v>
      </c>
      <c r="D22">
        <f t="shared" si="0"/>
        <v>7</v>
      </c>
    </row>
    <row r="23" spans="1:4" x14ac:dyDescent="0.25">
      <c r="A23" s="1">
        <v>46164</v>
      </c>
      <c r="B23" t="s">
        <v>0</v>
      </c>
      <c r="C23">
        <f>VLOOKUP(B23,$I$2:$J29,2,0)</f>
        <v>11</v>
      </c>
      <c r="D23">
        <f t="shared" si="0"/>
        <v>11</v>
      </c>
    </row>
    <row r="24" spans="1:4" x14ac:dyDescent="0.25">
      <c r="A24" s="1">
        <v>46165</v>
      </c>
      <c r="B24" t="s">
        <v>1</v>
      </c>
      <c r="C24">
        <f>VLOOKUP(B24,$I$2:$J30,2,0)</f>
        <v>7</v>
      </c>
      <c r="D24">
        <f t="shared" si="0"/>
        <v>7</v>
      </c>
    </row>
    <row r="25" spans="1:4" x14ac:dyDescent="0.25">
      <c r="A25" s="2">
        <v>46166</v>
      </c>
      <c r="B25" s="3" t="s">
        <v>2</v>
      </c>
      <c r="C25">
        <f>VLOOKUP(B25,$I$2:$J31,2,0)</f>
        <v>0</v>
      </c>
      <c r="D25">
        <f t="shared" si="0"/>
        <v>0</v>
      </c>
    </row>
    <row r="26" spans="1:4" x14ac:dyDescent="0.25">
      <c r="A26" s="1">
        <v>46167</v>
      </c>
      <c r="B26" t="s">
        <v>3</v>
      </c>
      <c r="C26">
        <f>VLOOKUP(B26,$I$2:$J32,2,0)</f>
        <v>0</v>
      </c>
      <c r="D26">
        <f t="shared" si="0"/>
        <v>0</v>
      </c>
    </row>
    <row r="27" spans="1:4" x14ac:dyDescent="0.25">
      <c r="A27" s="1">
        <v>46168</v>
      </c>
      <c r="B27" t="s">
        <v>4</v>
      </c>
      <c r="C27">
        <f>VLOOKUP(B27,$I$2:$J33,2,0)</f>
        <v>6</v>
      </c>
      <c r="D27">
        <f t="shared" si="0"/>
        <v>6</v>
      </c>
    </row>
    <row r="28" spans="1:4" x14ac:dyDescent="0.25">
      <c r="A28" s="1">
        <v>46169</v>
      </c>
      <c r="B28" t="s">
        <v>5</v>
      </c>
      <c r="C28">
        <f>VLOOKUP(B28,$I$2:$J34,2,0)</f>
        <v>6</v>
      </c>
      <c r="D28">
        <f t="shared" si="0"/>
        <v>6</v>
      </c>
    </row>
    <row r="29" spans="1:4" x14ac:dyDescent="0.25">
      <c r="A29" s="1">
        <v>46170</v>
      </c>
      <c r="B29" t="s">
        <v>6</v>
      </c>
      <c r="C29">
        <f>VLOOKUP(B29,$I$2:$J35,2,0)</f>
        <v>7</v>
      </c>
      <c r="D29">
        <f t="shared" si="0"/>
        <v>7</v>
      </c>
    </row>
    <row r="30" spans="1:4" x14ac:dyDescent="0.25">
      <c r="A30" s="1">
        <v>46171</v>
      </c>
      <c r="B30" t="s">
        <v>0</v>
      </c>
      <c r="C30">
        <f>VLOOKUP(B30,$I$2:$J36,2,0)</f>
        <v>11</v>
      </c>
      <c r="D30">
        <f t="shared" si="0"/>
        <v>11</v>
      </c>
    </row>
    <row r="31" spans="1:4" x14ac:dyDescent="0.25">
      <c r="A31" s="1">
        <v>46172</v>
      </c>
      <c r="B31" t="s">
        <v>1</v>
      </c>
      <c r="C31">
        <f>VLOOKUP(B31,$I$2:$J37,2,0)</f>
        <v>7</v>
      </c>
      <c r="D31">
        <f t="shared" si="0"/>
        <v>7</v>
      </c>
    </row>
    <row r="32" spans="1:4" x14ac:dyDescent="0.25">
      <c r="A32" s="2">
        <v>46173</v>
      </c>
      <c r="B32" s="3" t="s">
        <v>2</v>
      </c>
      <c r="C32">
        <f>VLOOKUP(B32,$I$2:$J38,2,0)</f>
        <v>0</v>
      </c>
      <c r="D32">
        <f t="shared" si="0"/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F6501-DAFA-4BD7-B021-ECD95185E9DC}">
  <dimension ref="A1:M32"/>
  <sheetViews>
    <sheetView tabSelected="1" workbookViewId="0">
      <selection activeCell="M13" sqref="M13:M16"/>
    </sheetView>
  </sheetViews>
  <sheetFormatPr defaultRowHeight="15" x14ac:dyDescent="0.25"/>
  <cols>
    <col min="1" max="1" width="10.7109375" bestFit="1" customWidth="1"/>
    <col min="2" max="2" width="14" bestFit="1" customWidth="1"/>
    <col min="3" max="3" width="6" bestFit="1" customWidth="1"/>
    <col min="4" max="4" width="8.28515625" bestFit="1" customWidth="1"/>
    <col min="9" max="9" width="16.85546875" bestFit="1" customWidth="1"/>
    <col min="10" max="10" width="17.28515625" bestFit="1" customWidth="1"/>
    <col min="11" max="11" width="20.14062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I1" t="s">
        <v>8</v>
      </c>
      <c r="J1" t="s">
        <v>11</v>
      </c>
      <c r="K1" t="s">
        <v>16</v>
      </c>
    </row>
    <row r="2" spans="1:13" x14ac:dyDescent="0.25">
      <c r="A2" s="4">
        <v>46143</v>
      </c>
      <c r="B2" s="5" t="s">
        <v>0</v>
      </c>
      <c r="C2">
        <f>VLOOKUP(B2,$I$2:$J8,2,0)</f>
        <v>11</v>
      </c>
      <c r="D2">
        <f>VLOOKUP(B2,$I$2:$K$8,3,)</f>
        <v>11</v>
      </c>
      <c r="I2" t="s">
        <v>3</v>
      </c>
      <c r="J2">
        <v>9</v>
      </c>
      <c r="K2">
        <f>(J2*60)/60</f>
        <v>9</v>
      </c>
    </row>
    <row r="3" spans="1:13" x14ac:dyDescent="0.25">
      <c r="A3" s="4">
        <v>46144</v>
      </c>
      <c r="B3" s="5" t="s">
        <v>1</v>
      </c>
      <c r="C3">
        <f>VLOOKUP(B3,$I$2:$J9,2,0)</f>
        <v>7</v>
      </c>
      <c r="D3">
        <f t="shared" ref="D3:D32" si="0">VLOOKUP(B3,$I$2:$K$8,3,)</f>
        <v>7</v>
      </c>
      <c r="I3" t="s">
        <v>4</v>
      </c>
      <c r="J3">
        <v>9</v>
      </c>
      <c r="K3">
        <f t="shared" ref="K3:K8" si="1">(J3*60)/60</f>
        <v>9</v>
      </c>
    </row>
    <row r="4" spans="1:13" x14ac:dyDescent="0.25">
      <c r="A4" s="2">
        <v>46145</v>
      </c>
      <c r="B4" s="3" t="s">
        <v>2</v>
      </c>
      <c r="C4">
        <f>VLOOKUP(B4,$I$2:$J10,2,0)</f>
        <v>0</v>
      </c>
      <c r="D4">
        <f t="shared" si="0"/>
        <v>0</v>
      </c>
      <c r="I4" t="s">
        <v>5</v>
      </c>
      <c r="J4">
        <v>11</v>
      </c>
      <c r="K4">
        <f t="shared" si="1"/>
        <v>11</v>
      </c>
    </row>
    <row r="5" spans="1:13" x14ac:dyDescent="0.25">
      <c r="A5" s="4">
        <v>46146</v>
      </c>
      <c r="B5" s="5" t="s">
        <v>3</v>
      </c>
      <c r="C5">
        <f>VLOOKUP(B5,$I$2:$J11,2,0)</f>
        <v>9</v>
      </c>
      <c r="D5">
        <f t="shared" si="0"/>
        <v>9</v>
      </c>
      <c r="I5" t="s">
        <v>6</v>
      </c>
      <c r="J5">
        <v>9</v>
      </c>
      <c r="K5">
        <f t="shared" si="1"/>
        <v>9</v>
      </c>
    </row>
    <row r="6" spans="1:13" x14ac:dyDescent="0.25">
      <c r="A6" s="1">
        <v>46147</v>
      </c>
      <c r="B6" t="s">
        <v>4</v>
      </c>
      <c r="C6">
        <f>VLOOKUP(B6,$I$2:$J12,2,0)</f>
        <v>9</v>
      </c>
      <c r="D6">
        <f t="shared" si="0"/>
        <v>9</v>
      </c>
      <c r="I6" t="s">
        <v>0</v>
      </c>
      <c r="J6">
        <v>11</v>
      </c>
      <c r="K6">
        <f t="shared" si="1"/>
        <v>11</v>
      </c>
    </row>
    <row r="7" spans="1:13" x14ac:dyDescent="0.25">
      <c r="A7" s="1">
        <v>46148</v>
      </c>
      <c r="B7" t="s">
        <v>5</v>
      </c>
      <c r="C7">
        <f>VLOOKUP(B7,$I$2:$J13,2,0)</f>
        <v>11</v>
      </c>
      <c r="D7">
        <f t="shared" si="0"/>
        <v>11</v>
      </c>
      <c r="I7" t="s">
        <v>1</v>
      </c>
      <c r="J7">
        <v>7</v>
      </c>
      <c r="K7">
        <f t="shared" si="1"/>
        <v>7</v>
      </c>
    </row>
    <row r="8" spans="1:13" x14ac:dyDescent="0.25">
      <c r="A8" s="1">
        <v>46149</v>
      </c>
      <c r="B8" t="s">
        <v>6</v>
      </c>
      <c r="C8">
        <f>VLOOKUP(B8,$I$2:$J14,2,0)</f>
        <v>9</v>
      </c>
      <c r="D8">
        <f t="shared" si="0"/>
        <v>9</v>
      </c>
      <c r="I8" t="s">
        <v>2</v>
      </c>
      <c r="J8">
        <v>0</v>
      </c>
      <c r="K8">
        <f t="shared" si="1"/>
        <v>0</v>
      </c>
    </row>
    <row r="9" spans="1:13" x14ac:dyDescent="0.25">
      <c r="A9" s="1">
        <v>46150</v>
      </c>
      <c r="B9" t="s">
        <v>0</v>
      </c>
      <c r="C9">
        <f>VLOOKUP(B9,$I$2:$J15,2,0)</f>
        <v>11</v>
      </c>
      <c r="D9">
        <f t="shared" si="0"/>
        <v>11</v>
      </c>
    </row>
    <row r="10" spans="1:13" x14ac:dyDescent="0.25">
      <c r="A10" s="1">
        <v>46151</v>
      </c>
      <c r="B10" t="s">
        <v>1</v>
      </c>
      <c r="C10">
        <f>VLOOKUP(B10,$I$2:$J16,2,0)</f>
        <v>7</v>
      </c>
      <c r="D10">
        <f t="shared" si="0"/>
        <v>7</v>
      </c>
      <c r="I10" t="s">
        <v>13</v>
      </c>
      <c r="J10">
        <v>242</v>
      </c>
    </row>
    <row r="11" spans="1:13" x14ac:dyDescent="0.25">
      <c r="A11" s="2">
        <v>46152</v>
      </c>
      <c r="B11" s="3" t="s">
        <v>2</v>
      </c>
      <c r="C11">
        <f>VLOOKUP(B11,$I$2:$J17,2,0)</f>
        <v>0</v>
      </c>
      <c r="D11">
        <f t="shared" si="0"/>
        <v>0</v>
      </c>
      <c r="I11" t="s">
        <v>14</v>
      </c>
      <c r="J11">
        <v>52</v>
      </c>
    </row>
    <row r="12" spans="1:13" x14ac:dyDescent="0.25">
      <c r="A12" s="1">
        <v>46153</v>
      </c>
      <c r="B12" t="s">
        <v>3</v>
      </c>
      <c r="C12">
        <f>VLOOKUP(B12,$I$2:$J18,2,0)</f>
        <v>9</v>
      </c>
      <c r="D12">
        <f t="shared" si="0"/>
        <v>9</v>
      </c>
      <c r="I12" s="6" t="s">
        <v>15</v>
      </c>
      <c r="J12" s="7">
        <f>J11/J10</f>
        <v>0.21487603305785125</v>
      </c>
    </row>
    <row r="13" spans="1:13" x14ac:dyDescent="0.25">
      <c r="A13" s="1">
        <v>46154</v>
      </c>
      <c r="B13" t="s">
        <v>4</v>
      </c>
      <c r="C13">
        <f>VLOOKUP(B13,$I$2:$J19,2,0)</f>
        <v>9</v>
      </c>
      <c r="D13">
        <f t="shared" si="0"/>
        <v>9</v>
      </c>
      <c r="M13">
        <v>39</v>
      </c>
    </row>
    <row r="14" spans="1:13" x14ac:dyDescent="0.25">
      <c r="A14" s="1">
        <v>46155</v>
      </c>
      <c r="B14" t="s">
        <v>5</v>
      </c>
      <c r="C14">
        <f>VLOOKUP(B14,$I$2:$J20,2,0)</f>
        <v>11</v>
      </c>
      <c r="D14">
        <f t="shared" si="0"/>
        <v>11</v>
      </c>
      <c r="M14">
        <v>50</v>
      </c>
    </row>
    <row r="15" spans="1:13" x14ac:dyDescent="0.25">
      <c r="A15" s="1">
        <v>46156</v>
      </c>
      <c r="B15" t="s">
        <v>6</v>
      </c>
      <c r="C15">
        <f>VLOOKUP(B15,$I$2:$J21,2,0)</f>
        <v>9</v>
      </c>
      <c r="D15">
        <f t="shared" si="0"/>
        <v>9</v>
      </c>
      <c r="I15" s="8"/>
      <c r="M15">
        <v>48</v>
      </c>
    </row>
    <row r="16" spans="1:13" x14ac:dyDescent="0.25">
      <c r="A16" s="1">
        <v>46157</v>
      </c>
      <c r="B16" t="s">
        <v>0</v>
      </c>
      <c r="C16">
        <f>VLOOKUP(B16,$I$2:$J22,2,0)</f>
        <v>11</v>
      </c>
      <c r="D16">
        <f t="shared" si="0"/>
        <v>11</v>
      </c>
      <c r="I16" s="8"/>
      <c r="M16">
        <v>21</v>
      </c>
    </row>
    <row r="17" spans="1:4" x14ac:dyDescent="0.25">
      <c r="A17" s="1">
        <v>46158</v>
      </c>
      <c r="B17" t="s">
        <v>1</v>
      </c>
      <c r="C17">
        <f>VLOOKUP(B17,$I$2:$J23,2,0)</f>
        <v>7</v>
      </c>
      <c r="D17">
        <f t="shared" si="0"/>
        <v>7</v>
      </c>
    </row>
    <row r="18" spans="1:4" x14ac:dyDescent="0.25">
      <c r="A18" s="2">
        <v>46159</v>
      </c>
      <c r="B18" s="3" t="s">
        <v>2</v>
      </c>
      <c r="C18">
        <f>VLOOKUP(B18,$I$2:$J24,2,0)</f>
        <v>0</v>
      </c>
      <c r="D18">
        <f t="shared" si="0"/>
        <v>0</v>
      </c>
    </row>
    <row r="19" spans="1:4" x14ac:dyDescent="0.25">
      <c r="A19" s="1">
        <v>46160</v>
      </c>
      <c r="B19" t="s">
        <v>3</v>
      </c>
      <c r="C19">
        <f>VLOOKUP(B19,$I$2:$J25,2,0)</f>
        <v>9</v>
      </c>
      <c r="D19">
        <f t="shared" si="0"/>
        <v>9</v>
      </c>
    </row>
    <row r="20" spans="1:4" x14ac:dyDescent="0.25">
      <c r="A20" s="1">
        <v>46161</v>
      </c>
      <c r="B20" t="s">
        <v>4</v>
      </c>
      <c r="C20">
        <f>VLOOKUP(B20,$I$2:$J26,2,0)</f>
        <v>9</v>
      </c>
      <c r="D20">
        <f t="shared" si="0"/>
        <v>9</v>
      </c>
    </row>
    <row r="21" spans="1:4" x14ac:dyDescent="0.25">
      <c r="A21" s="1">
        <v>46162</v>
      </c>
      <c r="B21" t="s">
        <v>5</v>
      </c>
      <c r="C21">
        <f>VLOOKUP(B21,$I$2:$J27,2,0)</f>
        <v>11</v>
      </c>
      <c r="D21">
        <f t="shared" si="0"/>
        <v>11</v>
      </c>
    </row>
    <row r="22" spans="1:4" x14ac:dyDescent="0.25">
      <c r="A22" s="1">
        <v>46163</v>
      </c>
      <c r="B22" t="s">
        <v>6</v>
      </c>
      <c r="C22">
        <f>VLOOKUP(B22,$I$2:$J28,2,0)</f>
        <v>9</v>
      </c>
      <c r="D22">
        <f t="shared" si="0"/>
        <v>9</v>
      </c>
    </row>
    <row r="23" spans="1:4" x14ac:dyDescent="0.25">
      <c r="A23" s="1">
        <v>46164</v>
      </c>
      <c r="B23" t="s">
        <v>0</v>
      </c>
      <c r="C23">
        <f>VLOOKUP(B23,$I$2:$J29,2,0)</f>
        <v>11</v>
      </c>
      <c r="D23">
        <f t="shared" si="0"/>
        <v>11</v>
      </c>
    </row>
    <row r="24" spans="1:4" x14ac:dyDescent="0.25">
      <c r="A24" s="1">
        <v>46165</v>
      </c>
      <c r="B24" t="s">
        <v>1</v>
      </c>
      <c r="C24">
        <f>VLOOKUP(B24,$I$2:$J30,2,0)</f>
        <v>7</v>
      </c>
      <c r="D24">
        <f t="shared" si="0"/>
        <v>7</v>
      </c>
    </row>
    <row r="25" spans="1:4" x14ac:dyDescent="0.25">
      <c r="A25" s="2">
        <v>46166</v>
      </c>
      <c r="B25" s="3" t="s">
        <v>2</v>
      </c>
      <c r="C25">
        <f>VLOOKUP(B25,$I$2:$J31,2,0)</f>
        <v>0</v>
      </c>
      <c r="D25">
        <f t="shared" si="0"/>
        <v>0</v>
      </c>
    </row>
    <row r="26" spans="1:4" x14ac:dyDescent="0.25">
      <c r="A26" s="1">
        <v>46167</v>
      </c>
      <c r="B26" t="s">
        <v>3</v>
      </c>
      <c r="C26">
        <f>VLOOKUP(B26,$I$2:$J32,2,0)</f>
        <v>9</v>
      </c>
      <c r="D26">
        <f t="shared" si="0"/>
        <v>9</v>
      </c>
    </row>
    <row r="27" spans="1:4" x14ac:dyDescent="0.25">
      <c r="A27" s="1">
        <v>46168</v>
      </c>
      <c r="B27" t="s">
        <v>4</v>
      </c>
      <c r="C27">
        <f>VLOOKUP(B27,$I$2:$J33,2,0)</f>
        <v>9</v>
      </c>
      <c r="D27">
        <f t="shared" si="0"/>
        <v>9</v>
      </c>
    </row>
    <row r="28" spans="1:4" x14ac:dyDescent="0.25">
      <c r="A28" s="1">
        <v>46169</v>
      </c>
      <c r="B28" t="s">
        <v>5</v>
      </c>
      <c r="C28">
        <f>VLOOKUP(B28,$I$2:$J34,2,0)</f>
        <v>11</v>
      </c>
      <c r="D28">
        <f t="shared" si="0"/>
        <v>11</v>
      </c>
    </row>
    <row r="29" spans="1:4" x14ac:dyDescent="0.25">
      <c r="A29" s="1">
        <v>46170</v>
      </c>
      <c r="B29" t="s">
        <v>6</v>
      </c>
      <c r="C29">
        <f>VLOOKUP(B29,$I$2:$J35,2,0)</f>
        <v>9</v>
      </c>
      <c r="D29">
        <f t="shared" si="0"/>
        <v>9</v>
      </c>
    </row>
    <row r="30" spans="1:4" x14ac:dyDescent="0.25">
      <c r="A30" s="1">
        <v>46171</v>
      </c>
      <c r="B30" t="s">
        <v>0</v>
      </c>
      <c r="C30">
        <f>VLOOKUP(B30,$I$2:$J36,2,0)</f>
        <v>11</v>
      </c>
      <c r="D30">
        <f t="shared" si="0"/>
        <v>11</v>
      </c>
    </row>
    <row r="31" spans="1:4" x14ac:dyDescent="0.25">
      <c r="A31" s="1">
        <v>46172</v>
      </c>
      <c r="B31" t="s">
        <v>1</v>
      </c>
      <c r="C31">
        <f>VLOOKUP(B31,$I$2:$J37,2,0)</f>
        <v>7</v>
      </c>
      <c r="D31">
        <f t="shared" si="0"/>
        <v>7</v>
      </c>
    </row>
    <row r="32" spans="1:4" x14ac:dyDescent="0.25">
      <c r="A32" s="2">
        <v>46173</v>
      </c>
      <c r="B32" s="3" t="s">
        <v>2</v>
      </c>
      <c r="C32">
        <f>VLOOKUP(B32,$I$2:$J38,2,0)</f>
        <v>0</v>
      </c>
      <c r="D32">
        <f t="shared" si="0"/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Henrique</vt:lpstr>
      <vt:lpstr>Wallace</vt:lpstr>
      <vt:lpstr>Vanessa</vt:lpstr>
      <vt:lpstr>Bruna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2026-06-05T17:25:33Z</dcterms:created>
  <dcterms:modified xsi:type="dcterms:W3CDTF">2026-06-23T15:02:25Z</dcterms:modified>
</cp:coreProperties>
</file>